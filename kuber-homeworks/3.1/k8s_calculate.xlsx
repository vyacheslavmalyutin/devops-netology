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VA\Desktop\000\"/>
    </mc:Choice>
  </mc:AlternateContent>
  <xr:revisionPtr revIDLastSave="0" documentId="13_ncr:1_{FC5B0610-CB77-4CB6-91E8-63415B785CBF}" xr6:coauthVersionLast="47" xr6:coauthVersionMax="47" xr10:uidLastSave="{00000000-0000-0000-0000-000000000000}"/>
  <bookViews>
    <workbookView xWindow="38290" yWindow="-110" windowWidth="38620" windowHeight="21100" xr2:uid="{CE5713C8-0AD3-4078-85A0-3038D1BBCB4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46" i="1" l="1"/>
  <c r="AB46" i="1"/>
  <c r="AC45" i="1"/>
  <c r="AB45" i="1"/>
  <c r="AC44" i="1"/>
  <c r="AB44" i="1"/>
  <c r="N40" i="1"/>
  <c r="K40" i="1"/>
  <c r="H40" i="1"/>
  <c r="E40" i="1"/>
  <c r="P39" i="1"/>
  <c r="R39" i="1" s="1"/>
  <c r="Y51" i="1" s="1"/>
  <c r="O39" i="1"/>
  <c r="Q39" i="1" s="1"/>
  <c r="X51" i="1" s="1"/>
  <c r="P38" i="1"/>
  <c r="R38" i="1" s="1"/>
  <c r="O38" i="1"/>
  <c r="Q38" i="1" s="1"/>
  <c r="X50" i="1" s="1"/>
  <c r="P37" i="1"/>
  <c r="R37" i="1" s="1"/>
  <c r="Y49" i="1" s="1"/>
  <c r="O37" i="1"/>
  <c r="Q37" i="1" s="1"/>
  <c r="X49" i="1" s="1"/>
  <c r="P36" i="1"/>
  <c r="R36" i="1" s="1"/>
  <c r="O36" i="1"/>
  <c r="Q36" i="1" s="1"/>
  <c r="X48" i="1" s="1"/>
  <c r="P35" i="1"/>
  <c r="R35" i="1" s="1"/>
  <c r="Y47" i="1" s="1"/>
  <c r="AC47" i="1" s="1"/>
  <c r="O35" i="1"/>
  <c r="Q35" i="1" s="1"/>
  <c r="AC73" i="1"/>
  <c r="AB73" i="1"/>
  <c r="AC72" i="1"/>
  <c r="AB72" i="1"/>
  <c r="AC71" i="1"/>
  <c r="AB71" i="1"/>
  <c r="N67" i="1"/>
  <c r="K67" i="1"/>
  <c r="H67" i="1"/>
  <c r="E67" i="1"/>
  <c r="P66" i="1"/>
  <c r="R66" i="1" s="1"/>
  <c r="Y79" i="1" s="1"/>
  <c r="AC79" i="1" s="1"/>
  <c r="O66" i="1"/>
  <c r="Q66" i="1" s="1"/>
  <c r="X79" i="1" s="1"/>
  <c r="AB79" i="1" s="1"/>
  <c r="P65" i="1"/>
  <c r="R65" i="1" s="1"/>
  <c r="Y78" i="1" s="1"/>
  <c r="AC78" i="1" s="1"/>
  <c r="O65" i="1"/>
  <c r="Q65" i="1" s="1"/>
  <c r="X78" i="1" s="1"/>
  <c r="AB78" i="1" s="1"/>
  <c r="P64" i="1"/>
  <c r="R64" i="1" s="1"/>
  <c r="Y77" i="1" s="1"/>
  <c r="AC77" i="1" s="1"/>
  <c r="O64" i="1"/>
  <c r="Q64" i="1" s="1"/>
  <c r="X77" i="1" s="1"/>
  <c r="AB77" i="1" s="1"/>
  <c r="P63" i="1"/>
  <c r="R63" i="1" s="1"/>
  <c r="Y76" i="1" s="1"/>
  <c r="AC76" i="1" s="1"/>
  <c r="O63" i="1"/>
  <c r="Q63" i="1" s="1"/>
  <c r="X76" i="1" s="1"/>
  <c r="AB76" i="1" s="1"/>
  <c r="P62" i="1"/>
  <c r="R62" i="1" s="1"/>
  <c r="Y75" i="1" s="1"/>
  <c r="AC75" i="1" s="1"/>
  <c r="O62" i="1"/>
  <c r="Q62" i="1" s="1"/>
  <c r="X75" i="1" s="1"/>
  <c r="AB75" i="1" s="1"/>
  <c r="P61" i="1"/>
  <c r="R61" i="1" s="1"/>
  <c r="Y74" i="1" s="1"/>
  <c r="AC74" i="1" s="1"/>
  <c r="O61" i="1"/>
  <c r="Q61" i="1" s="1"/>
  <c r="X74" i="1" s="1"/>
  <c r="AB74" i="1" s="1"/>
  <c r="AC23" i="1"/>
  <c r="AB23" i="1"/>
  <c r="AC22" i="1"/>
  <c r="AB22" i="1"/>
  <c r="AC21" i="1"/>
  <c r="AB21" i="1"/>
  <c r="P16" i="1"/>
  <c r="R16" i="1" s="1"/>
  <c r="Y26" i="1" s="1"/>
  <c r="AC26" i="1" s="1"/>
  <c r="P15" i="1"/>
  <c r="R15" i="1" s="1"/>
  <c r="Y25" i="1" s="1"/>
  <c r="AC25" i="1" s="1"/>
  <c r="P14" i="1"/>
  <c r="R14" i="1" s="1"/>
  <c r="Y24" i="1" s="1"/>
  <c r="AC24" i="1" s="1"/>
  <c r="O16" i="1"/>
  <c r="Q16" i="1" s="1"/>
  <c r="X26" i="1" s="1"/>
  <c r="AB26" i="1" s="1"/>
  <c r="O15" i="1"/>
  <c r="Q15" i="1" s="1"/>
  <c r="X25" i="1" s="1"/>
  <c r="AB25" i="1" s="1"/>
  <c r="O14" i="1"/>
  <c r="Q14" i="1" s="1"/>
  <c r="X24" i="1" s="1"/>
  <c r="AB24" i="1" s="1"/>
  <c r="N17" i="1"/>
  <c r="K17" i="1"/>
  <c r="H17" i="1"/>
  <c r="E17" i="1"/>
  <c r="AC49" i="1" l="1"/>
  <c r="AB48" i="1"/>
  <c r="Y48" i="1"/>
  <c r="AC51" i="1"/>
  <c r="AB49" i="1"/>
  <c r="X47" i="1"/>
  <c r="AB47" i="1" s="1"/>
  <c r="Y50" i="1"/>
  <c r="AC50" i="1" s="1"/>
  <c r="AC52" i="1" s="1"/>
  <c r="AI5" i="1" s="1"/>
  <c r="AB51" i="1"/>
  <c r="AB50" i="1"/>
  <c r="AC48" i="1"/>
  <c r="AB52" i="1"/>
  <c r="AH5" i="1" s="1"/>
  <c r="AC80" i="1"/>
  <c r="AI6" i="1" s="1"/>
  <c r="AC27" i="1"/>
  <c r="AI4" i="1" s="1"/>
  <c r="AB27" i="1"/>
  <c r="AH4" i="1" s="1"/>
  <c r="AB80" i="1"/>
  <c r="AH6" i="1" s="1"/>
</calcChain>
</file>

<file path=xl/sharedStrings.xml><?xml version="1.0" encoding="utf-8"?>
<sst xmlns="http://schemas.openxmlformats.org/spreadsheetml/2006/main" count="246" uniqueCount="34">
  <si>
    <t>RAM</t>
  </si>
  <si>
    <t>vCPU</t>
  </si>
  <si>
    <t>Тип</t>
  </si>
  <si>
    <t>Обозначение</t>
  </si>
  <si>
    <t>Нода</t>
  </si>
  <si>
    <t>База данных</t>
  </si>
  <si>
    <t>Кеш</t>
  </si>
  <si>
    <t>Фронтенд</t>
  </si>
  <si>
    <t>Бэкенд</t>
  </si>
  <si>
    <t>master</t>
  </si>
  <si>
    <t>worker</t>
  </si>
  <si>
    <t>master-01</t>
  </si>
  <si>
    <t>worker-01</t>
  </si>
  <si>
    <t>master-02</t>
  </si>
  <si>
    <t>master-03</t>
  </si>
  <si>
    <t>worker-02</t>
  </si>
  <si>
    <t>worker-03</t>
  </si>
  <si>
    <t>Полезная нагрузка</t>
  </si>
  <si>
    <t>-</t>
  </si>
  <si>
    <t>Реплика</t>
  </si>
  <si>
    <t>ИТОГО</t>
  </si>
  <si>
    <t>Системные ресурсы кластера</t>
  </si>
  <si>
    <t>Аварийный резерв</t>
  </si>
  <si>
    <t>ИТОГО (округ.)</t>
  </si>
  <si>
    <t>worker-04</t>
  </si>
  <si>
    <t>worker-05</t>
  </si>
  <si>
    <t>worker-06</t>
  </si>
  <si>
    <t>ВСЕГО:</t>
  </si>
  <si>
    <t>Вариант 1</t>
  </si>
  <si>
    <t>Вариант 2</t>
  </si>
  <si>
    <t>Вариант 3</t>
  </si>
  <si>
    <t>Вариант</t>
  </si>
  <si>
    <t>Кол-во нод</t>
  </si>
  <si>
    <t>Ресурсы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</si>
</sst>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right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4F445-CDF8-457D-9468-6F218F0151F1}">
  <dimension ref="A2:AI80"/>
  <sheetViews>
    <sheetView tabSelected="1" workbookViewId="0"/>
  </sheetViews>
  <sheetFormatPr defaultRowHeight="14.5" x14ac:dyDescent="0.35"/>
  <cols>
    <col min="2" max="2" width="12.453125" customWidth="1"/>
    <col min="3" max="4" width="5.6328125" customWidth="1"/>
    <col min="5" max="5" width="7.90625" customWidth="1"/>
    <col min="6" max="7" width="5.6328125" customWidth="1"/>
    <col min="8" max="8" width="7.90625" customWidth="1"/>
    <col min="9" max="10" width="5.6328125" customWidth="1"/>
    <col min="11" max="11" width="7.90625" customWidth="1"/>
    <col min="12" max="13" width="5.6328125" customWidth="1"/>
    <col min="14" max="14" width="7.90625" customWidth="1"/>
    <col min="15" max="18" width="5.6328125" customWidth="1"/>
    <col min="21" max="21" width="14.453125" customWidth="1"/>
    <col min="22" max="29" width="8.6328125" customWidth="1"/>
  </cols>
  <sheetData>
    <row r="2" spans="1:35" x14ac:dyDescent="0.35">
      <c r="AE2" s="17" t="s">
        <v>31</v>
      </c>
      <c r="AF2" s="17" t="s">
        <v>32</v>
      </c>
      <c r="AG2" s="17"/>
      <c r="AH2" s="17" t="s">
        <v>33</v>
      </c>
      <c r="AI2" s="17"/>
    </row>
    <row r="3" spans="1:35" x14ac:dyDescent="0.35">
      <c r="AE3" s="17"/>
      <c r="AF3" s="2" t="s">
        <v>9</v>
      </c>
      <c r="AG3" s="2" t="s">
        <v>10</v>
      </c>
      <c r="AH3" s="2" t="s">
        <v>1</v>
      </c>
      <c r="AI3" s="2" t="s">
        <v>0</v>
      </c>
    </row>
    <row r="4" spans="1:35" x14ac:dyDescent="0.35">
      <c r="AE4" s="2">
        <v>1</v>
      </c>
      <c r="AF4" s="2">
        <v>3</v>
      </c>
      <c r="AG4" s="2">
        <v>3</v>
      </c>
      <c r="AH4" s="2">
        <f>AB27</f>
        <v>58</v>
      </c>
      <c r="AI4" s="2">
        <f>AC27</f>
        <v>82</v>
      </c>
    </row>
    <row r="5" spans="1:35" x14ac:dyDescent="0.35">
      <c r="AE5" s="2">
        <v>2</v>
      </c>
      <c r="AF5" s="2">
        <v>3</v>
      </c>
      <c r="AG5" s="2">
        <v>5</v>
      </c>
      <c r="AH5" s="2">
        <f>AB52</f>
        <v>68</v>
      </c>
      <c r="AI5" s="2">
        <f>AC52</f>
        <v>106</v>
      </c>
    </row>
    <row r="6" spans="1:35" x14ac:dyDescent="0.35">
      <c r="AE6" s="2">
        <v>3</v>
      </c>
      <c r="AF6" s="2">
        <v>3</v>
      </c>
      <c r="AG6" s="2">
        <v>6</v>
      </c>
      <c r="AH6" s="2">
        <f>AB80</f>
        <v>69</v>
      </c>
      <c r="AI6" s="2">
        <f>AC80</f>
        <v>94</v>
      </c>
    </row>
    <row r="9" spans="1:35" x14ac:dyDescent="0.35">
      <c r="A9" s="13" t="s">
        <v>28</v>
      </c>
    </row>
    <row r="11" spans="1:35" ht="14.5" customHeight="1" x14ac:dyDescent="0.35">
      <c r="A11" s="9" t="s">
        <v>4</v>
      </c>
      <c r="B11" s="9"/>
      <c r="C11" s="9" t="s">
        <v>17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1:35" ht="29" customHeight="1" x14ac:dyDescent="0.35">
      <c r="A12" s="9"/>
      <c r="B12" s="9"/>
      <c r="C12" s="12" t="s">
        <v>5</v>
      </c>
      <c r="D12" s="12"/>
      <c r="E12" s="12"/>
      <c r="F12" s="12" t="s">
        <v>6</v>
      </c>
      <c r="G12" s="12"/>
      <c r="H12" s="12"/>
      <c r="I12" s="12" t="s">
        <v>7</v>
      </c>
      <c r="J12" s="12"/>
      <c r="K12" s="12"/>
      <c r="L12" s="12" t="s">
        <v>8</v>
      </c>
      <c r="M12" s="12"/>
      <c r="N12" s="12"/>
      <c r="O12" s="12" t="s">
        <v>20</v>
      </c>
      <c r="P12" s="12"/>
      <c r="Q12" s="9" t="s">
        <v>23</v>
      </c>
      <c r="R12" s="9"/>
    </row>
    <row r="13" spans="1:35" x14ac:dyDescent="0.35">
      <c r="A13" s="3" t="s">
        <v>2</v>
      </c>
      <c r="B13" s="3" t="s">
        <v>3</v>
      </c>
      <c r="C13" s="3" t="s">
        <v>1</v>
      </c>
      <c r="D13" s="3" t="s">
        <v>0</v>
      </c>
      <c r="E13" s="3" t="s">
        <v>19</v>
      </c>
      <c r="F13" s="3" t="s">
        <v>1</v>
      </c>
      <c r="G13" s="3" t="s">
        <v>0</v>
      </c>
      <c r="H13" s="3" t="s">
        <v>19</v>
      </c>
      <c r="I13" s="3" t="s">
        <v>1</v>
      </c>
      <c r="J13" s="3" t="s">
        <v>0</v>
      </c>
      <c r="K13" s="3" t="s">
        <v>19</v>
      </c>
      <c r="L13" s="3" t="s">
        <v>1</v>
      </c>
      <c r="M13" s="3" t="s">
        <v>0</v>
      </c>
      <c r="N13" s="3" t="s">
        <v>19</v>
      </c>
      <c r="O13" s="3" t="s">
        <v>1</v>
      </c>
      <c r="P13" s="3" t="s">
        <v>0</v>
      </c>
      <c r="Q13" s="4" t="s">
        <v>1</v>
      </c>
      <c r="R13" s="4" t="s">
        <v>0</v>
      </c>
    </row>
    <row r="14" spans="1:35" x14ac:dyDescent="0.35">
      <c r="A14" s="3" t="s">
        <v>10</v>
      </c>
      <c r="B14" s="3" t="s">
        <v>12</v>
      </c>
      <c r="C14" s="2">
        <v>1</v>
      </c>
      <c r="D14" s="2">
        <v>4</v>
      </c>
      <c r="E14" s="3">
        <v>1</v>
      </c>
      <c r="F14" s="2">
        <v>1</v>
      </c>
      <c r="G14" s="2">
        <v>4</v>
      </c>
      <c r="H14" s="3">
        <v>1</v>
      </c>
      <c r="I14" s="2">
        <v>0.2</v>
      </c>
      <c r="J14" s="2">
        <v>0.05</v>
      </c>
      <c r="K14" s="3">
        <v>2</v>
      </c>
      <c r="L14" s="2">
        <v>1</v>
      </c>
      <c r="M14" s="2">
        <v>0.6</v>
      </c>
      <c r="N14" s="3">
        <v>3</v>
      </c>
      <c r="O14" s="2">
        <f>C14*E14+F14*H14+I14*K14+L14*N14</f>
        <v>5.4</v>
      </c>
      <c r="P14" s="2">
        <f>D14*E14+G14*H14+J14*K14+M14*N14</f>
        <v>9.8999999999999986</v>
      </c>
      <c r="Q14" s="7">
        <f>ROUNDUP(O14,0)</f>
        <v>6</v>
      </c>
      <c r="R14" s="7">
        <f>ROUNDUP(P14,0)</f>
        <v>10</v>
      </c>
    </row>
    <row r="15" spans="1:35" x14ac:dyDescent="0.35">
      <c r="A15" s="3" t="s">
        <v>10</v>
      </c>
      <c r="B15" s="3" t="s">
        <v>15</v>
      </c>
      <c r="C15" s="2">
        <v>1</v>
      </c>
      <c r="D15" s="2">
        <v>4</v>
      </c>
      <c r="E15" s="3">
        <v>1</v>
      </c>
      <c r="F15" s="2">
        <v>1</v>
      </c>
      <c r="G15" s="2">
        <v>4</v>
      </c>
      <c r="H15" s="3">
        <v>1</v>
      </c>
      <c r="I15" s="2">
        <v>0.2</v>
      </c>
      <c r="J15" s="2">
        <v>0.05</v>
      </c>
      <c r="K15" s="3">
        <v>2</v>
      </c>
      <c r="L15" s="2">
        <v>1</v>
      </c>
      <c r="M15" s="2">
        <v>0.6</v>
      </c>
      <c r="N15" s="3">
        <v>3</v>
      </c>
      <c r="O15" s="2">
        <f>C15*E15+F15*H15+I15*K15+L15*N15</f>
        <v>5.4</v>
      </c>
      <c r="P15" s="2">
        <f t="shared" ref="P15:P16" si="0">D15*E15+G15*H15+J15*K15+M15*N15</f>
        <v>9.8999999999999986</v>
      </c>
      <c r="Q15" s="7">
        <f t="shared" ref="Q15:Q16" si="1">ROUNDUP(O15,0)</f>
        <v>6</v>
      </c>
      <c r="R15" s="7">
        <f t="shared" ref="R15:R16" si="2">ROUNDUP(P15,0)</f>
        <v>10</v>
      </c>
    </row>
    <row r="16" spans="1:35" x14ac:dyDescent="0.35">
      <c r="A16" s="3" t="s">
        <v>10</v>
      </c>
      <c r="B16" s="3" t="s">
        <v>16</v>
      </c>
      <c r="C16" s="2">
        <v>1</v>
      </c>
      <c r="D16" s="2">
        <v>4</v>
      </c>
      <c r="E16" s="3">
        <v>1</v>
      </c>
      <c r="F16" s="2">
        <v>1</v>
      </c>
      <c r="G16" s="2">
        <v>4</v>
      </c>
      <c r="H16" s="3">
        <v>1</v>
      </c>
      <c r="I16" s="2">
        <v>0.2</v>
      </c>
      <c r="J16" s="2">
        <v>0.05</v>
      </c>
      <c r="K16" s="3">
        <v>1</v>
      </c>
      <c r="L16" s="2">
        <v>1</v>
      </c>
      <c r="M16" s="2">
        <v>0.6</v>
      </c>
      <c r="N16" s="3">
        <v>4</v>
      </c>
      <c r="O16" s="2">
        <f>C16*E16+F16*H16+I16*K16+L16*N16</f>
        <v>6.2</v>
      </c>
      <c r="P16" s="2">
        <f t="shared" si="0"/>
        <v>10.450000000000001</v>
      </c>
      <c r="Q16" s="7">
        <f t="shared" si="1"/>
        <v>7</v>
      </c>
      <c r="R16" s="7">
        <f t="shared" si="2"/>
        <v>11</v>
      </c>
    </row>
    <row r="17" spans="1:29" x14ac:dyDescent="0.35">
      <c r="A17" s="5"/>
      <c r="B17" s="8"/>
      <c r="C17" s="6"/>
      <c r="D17" s="6"/>
      <c r="E17" s="4">
        <f>SUM(E14:E16)</f>
        <v>3</v>
      </c>
      <c r="F17" s="6"/>
      <c r="G17" s="6"/>
      <c r="H17" s="4">
        <f>SUM(H14:H16)</f>
        <v>3</v>
      </c>
      <c r="I17" s="6"/>
      <c r="J17" s="6"/>
      <c r="K17" s="4">
        <f>SUM(K14:K16)</f>
        <v>5</v>
      </c>
      <c r="L17" s="6"/>
      <c r="M17" s="6"/>
      <c r="N17" s="4">
        <f>SUM(N14:N16)</f>
        <v>10</v>
      </c>
      <c r="O17" s="1"/>
      <c r="P17" s="1"/>
    </row>
    <row r="18" spans="1:29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29" ht="29" customHeight="1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T19" s="10" t="s">
        <v>4</v>
      </c>
      <c r="U19" s="11"/>
      <c r="V19" s="9" t="s">
        <v>21</v>
      </c>
      <c r="W19" s="9"/>
      <c r="X19" s="9" t="s">
        <v>17</v>
      </c>
      <c r="Y19" s="9"/>
      <c r="Z19" s="9" t="s">
        <v>22</v>
      </c>
      <c r="AA19" s="9"/>
      <c r="AB19" s="9" t="s">
        <v>20</v>
      </c>
      <c r="AC19" s="9"/>
    </row>
    <row r="20" spans="1:29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T20" s="3" t="s">
        <v>2</v>
      </c>
      <c r="U20" s="3" t="s">
        <v>3</v>
      </c>
      <c r="V20" s="3" t="s">
        <v>1</v>
      </c>
      <c r="W20" s="3" t="s">
        <v>0</v>
      </c>
      <c r="X20" s="3" t="s">
        <v>1</v>
      </c>
      <c r="Y20" s="3" t="s">
        <v>0</v>
      </c>
      <c r="Z20" s="3" t="s">
        <v>1</v>
      </c>
      <c r="AA20" s="3" t="s">
        <v>0</v>
      </c>
      <c r="AB20" s="4" t="s">
        <v>1</v>
      </c>
      <c r="AC20" s="4" t="s">
        <v>0</v>
      </c>
    </row>
    <row r="21" spans="1:29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T21" s="3" t="s">
        <v>9</v>
      </c>
      <c r="U21" s="3" t="s">
        <v>11</v>
      </c>
      <c r="V21" s="3">
        <v>4</v>
      </c>
      <c r="W21" s="3">
        <v>4</v>
      </c>
      <c r="X21" s="3" t="s">
        <v>18</v>
      </c>
      <c r="Y21" s="3" t="s">
        <v>18</v>
      </c>
      <c r="Z21" s="3" t="s">
        <v>18</v>
      </c>
      <c r="AA21" s="3" t="s">
        <v>18</v>
      </c>
      <c r="AB21" s="4">
        <f>V21</f>
        <v>4</v>
      </c>
      <c r="AC21" s="4">
        <f>W21</f>
        <v>4</v>
      </c>
    </row>
    <row r="22" spans="1:29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T22" s="3" t="s">
        <v>9</v>
      </c>
      <c r="U22" s="3" t="s">
        <v>13</v>
      </c>
      <c r="V22" s="3">
        <v>4</v>
      </c>
      <c r="W22" s="3">
        <v>4</v>
      </c>
      <c r="X22" s="3" t="s">
        <v>18</v>
      </c>
      <c r="Y22" s="3" t="s">
        <v>18</v>
      </c>
      <c r="Z22" s="3" t="s">
        <v>18</v>
      </c>
      <c r="AA22" s="3" t="s">
        <v>18</v>
      </c>
      <c r="AB22" s="4">
        <f t="shared" ref="AB22:AB23" si="3">V22</f>
        <v>4</v>
      </c>
      <c r="AC22" s="4">
        <f t="shared" ref="AC22:AC23" si="4">W22</f>
        <v>4</v>
      </c>
    </row>
    <row r="23" spans="1:29" x14ac:dyDescent="0.35">
      <c r="T23" s="3" t="s">
        <v>9</v>
      </c>
      <c r="U23" s="3" t="s">
        <v>14</v>
      </c>
      <c r="V23" s="3">
        <v>4</v>
      </c>
      <c r="W23" s="3">
        <v>4</v>
      </c>
      <c r="X23" s="3" t="s">
        <v>18</v>
      </c>
      <c r="Y23" s="3" t="s">
        <v>18</v>
      </c>
      <c r="Z23" s="3" t="s">
        <v>18</v>
      </c>
      <c r="AA23" s="3" t="s">
        <v>18</v>
      </c>
      <c r="AB23" s="4">
        <f t="shared" si="3"/>
        <v>4</v>
      </c>
      <c r="AC23" s="4">
        <f t="shared" si="4"/>
        <v>4</v>
      </c>
    </row>
    <row r="24" spans="1:29" x14ac:dyDescent="0.35">
      <c r="T24" s="3" t="s">
        <v>10</v>
      </c>
      <c r="U24" s="3" t="s">
        <v>12</v>
      </c>
      <c r="V24" s="3">
        <v>2</v>
      </c>
      <c r="W24" s="3">
        <v>2</v>
      </c>
      <c r="X24" s="3">
        <f>Q14</f>
        <v>6</v>
      </c>
      <c r="Y24" s="3">
        <f>R14</f>
        <v>10</v>
      </c>
      <c r="Z24" s="3">
        <v>7</v>
      </c>
      <c r="AA24" s="3">
        <v>11</v>
      </c>
      <c r="AB24" s="4">
        <f t="shared" ref="AB24:AB26" si="5">V24+X24+Z24</f>
        <v>15</v>
      </c>
      <c r="AC24" s="4">
        <f t="shared" ref="AC24:AC26" si="6">W24+Y24+AA24</f>
        <v>23</v>
      </c>
    </row>
    <row r="25" spans="1:29" x14ac:dyDescent="0.35">
      <c r="T25" s="3" t="s">
        <v>10</v>
      </c>
      <c r="U25" s="3" t="s">
        <v>15</v>
      </c>
      <c r="V25" s="3">
        <v>2</v>
      </c>
      <c r="W25" s="3">
        <v>2</v>
      </c>
      <c r="X25" s="3">
        <f>Q15</f>
        <v>6</v>
      </c>
      <c r="Y25" s="3">
        <f>R15</f>
        <v>10</v>
      </c>
      <c r="Z25" s="3">
        <v>7</v>
      </c>
      <c r="AA25" s="3">
        <v>11</v>
      </c>
      <c r="AB25" s="4">
        <f t="shared" si="5"/>
        <v>15</v>
      </c>
      <c r="AC25" s="4">
        <f t="shared" si="6"/>
        <v>23</v>
      </c>
    </row>
    <row r="26" spans="1:29" x14ac:dyDescent="0.35">
      <c r="T26" s="3" t="s">
        <v>10</v>
      </c>
      <c r="U26" s="3" t="s">
        <v>16</v>
      </c>
      <c r="V26" s="3">
        <v>2</v>
      </c>
      <c r="W26" s="3">
        <v>2</v>
      </c>
      <c r="X26" s="3">
        <f>Q16</f>
        <v>7</v>
      </c>
      <c r="Y26" s="3">
        <f>R16</f>
        <v>11</v>
      </c>
      <c r="Z26" s="3">
        <v>7</v>
      </c>
      <c r="AA26" s="3">
        <v>11</v>
      </c>
      <c r="AB26" s="4">
        <f t="shared" si="5"/>
        <v>16</v>
      </c>
      <c r="AC26" s="4">
        <f t="shared" si="6"/>
        <v>24</v>
      </c>
    </row>
    <row r="27" spans="1:29" s="14" customFormat="1" ht="15.5" x14ac:dyDescent="0.35">
      <c r="AA27" s="15" t="s">
        <v>27</v>
      </c>
      <c r="AB27" s="16">
        <f>SUM(AB21:AB26)</f>
        <v>58</v>
      </c>
      <c r="AC27" s="16">
        <f>SUM(AC21:AC26)</f>
        <v>82</v>
      </c>
    </row>
    <row r="30" spans="1:29" x14ac:dyDescent="0.35">
      <c r="A30" s="13" t="s">
        <v>29</v>
      </c>
    </row>
    <row r="32" spans="1:29" x14ac:dyDescent="0.35">
      <c r="A32" s="9" t="s">
        <v>4</v>
      </c>
      <c r="B32" s="9"/>
      <c r="C32" s="9" t="s">
        <v>17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spans="1:29" x14ac:dyDescent="0.35">
      <c r="A33" s="9"/>
      <c r="B33" s="9"/>
      <c r="C33" s="12" t="s">
        <v>5</v>
      </c>
      <c r="D33" s="12"/>
      <c r="E33" s="12"/>
      <c r="F33" s="12" t="s">
        <v>6</v>
      </c>
      <c r="G33" s="12"/>
      <c r="H33" s="12"/>
      <c r="I33" s="12" t="s">
        <v>7</v>
      </c>
      <c r="J33" s="12"/>
      <c r="K33" s="12"/>
      <c r="L33" s="12" t="s">
        <v>8</v>
      </c>
      <c r="M33" s="12"/>
      <c r="N33" s="12"/>
      <c r="O33" s="12" t="s">
        <v>20</v>
      </c>
      <c r="P33" s="12"/>
      <c r="Q33" s="9" t="s">
        <v>23</v>
      </c>
      <c r="R33" s="9"/>
    </row>
    <row r="34" spans="1:29" x14ac:dyDescent="0.35">
      <c r="A34" s="3" t="s">
        <v>2</v>
      </c>
      <c r="B34" s="3" t="s">
        <v>3</v>
      </c>
      <c r="C34" s="3" t="s">
        <v>1</v>
      </c>
      <c r="D34" s="3" t="s">
        <v>0</v>
      </c>
      <c r="E34" s="3" t="s">
        <v>19</v>
      </c>
      <c r="F34" s="3" t="s">
        <v>1</v>
      </c>
      <c r="G34" s="3" t="s">
        <v>0</v>
      </c>
      <c r="H34" s="3" t="s">
        <v>19</v>
      </c>
      <c r="I34" s="3" t="s">
        <v>1</v>
      </c>
      <c r="J34" s="3" t="s">
        <v>0</v>
      </c>
      <c r="K34" s="3" t="s">
        <v>19</v>
      </c>
      <c r="L34" s="3" t="s">
        <v>1</v>
      </c>
      <c r="M34" s="3" t="s">
        <v>0</v>
      </c>
      <c r="N34" s="3" t="s">
        <v>19</v>
      </c>
      <c r="O34" s="3" t="s">
        <v>1</v>
      </c>
      <c r="P34" s="3" t="s">
        <v>0</v>
      </c>
      <c r="Q34" s="4" t="s">
        <v>1</v>
      </c>
      <c r="R34" s="4" t="s">
        <v>0</v>
      </c>
    </row>
    <row r="35" spans="1:29" x14ac:dyDescent="0.35">
      <c r="A35" s="3" t="s">
        <v>10</v>
      </c>
      <c r="B35" s="3" t="s">
        <v>12</v>
      </c>
      <c r="C35" s="2">
        <v>1</v>
      </c>
      <c r="D35" s="2">
        <v>4</v>
      </c>
      <c r="E35" s="3">
        <v>1</v>
      </c>
      <c r="F35" s="2">
        <v>1</v>
      </c>
      <c r="G35" s="2">
        <v>4</v>
      </c>
      <c r="H35" s="3"/>
      <c r="I35" s="2">
        <v>0.2</v>
      </c>
      <c r="J35" s="2">
        <v>0.05</v>
      </c>
      <c r="K35" s="3">
        <v>1</v>
      </c>
      <c r="L35" s="2">
        <v>1</v>
      </c>
      <c r="M35" s="2">
        <v>0.6</v>
      </c>
      <c r="N35" s="3">
        <v>2</v>
      </c>
      <c r="O35" s="2">
        <f>C35*E35+F35*H35+I35*K35+L35*N35</f>
        <v>3.2</v>
      </c>
      <c r="P35" s="2">
        <f>D35*E35+G35*H35+J35*K35+M35*N35</f>
        <v>5.25</v>
      </c>
      <c r="Q35" s="7">
        <f>ROUNDUP(O35,0)</f>
        <v>4</v>
      </c>
      <c r="R35" s="7">
        <f>ROUNDUP(P35,0)</f>
        <v>6</v>
      </c>
    </row>
    <row r="36" spans="1:29" x14ac:dyDescent="0.35">
      <c r="A36" s="3" t="s">
        <v>10</v>
      </c>
      <c r="B36" s="3" t="s">
        <v>15</v>
      </c>
      <c r="C36" s="2">
        <v>1</v>
      </c>
      <c r="D36" s="2">
        <v>4</v>
      </c>
      <c r="E36" s="3"/>
      <c r="F36" s="2">
        <v>1</v>
      </c>
      <c r="G36" s="2">
        <v>4</v>
      </c>
      <c r="H36" s="3">
        <v>1</v>
      </c>
      <c r="I36" s="2">
        <v>0.2</v>
      </c>
      <c r="J36" s="2">
        <v>0.05</v>
      </c>
      <c r="K36" s="3">
        <v>1</v>
      </c>
      <c r="L36" s="2">
        <v>1</v>
      </c>
      <c r="M36" s="2">
        <v>0.6</v>
      </c>
      <c r="N36" s="3">
        <v>2</v>
      </c>
      <c r="O36" s="2">
        <f>C36*E36+F36*H36+I36*K36+L36*N36</f>
        <v>3.2</v>
      </c>
      <c r="P36" s="2">
        <f t="shared" ref="P36:P37" si="7">D36*E36+G36*H36+J36*K36+M36*N36</f>
        <v>5.25</v>
      </c>
      <c r="Q36" s="7">
        <f t="shared" ref="Q36:Q37" si="8">ROUNDUP(O36,0)</f>
        <v>4</v>
      </c>
      <c r="R36" s="7">
        <f t="shared" ref="R36:R37" si="9">ROUNDUP(P36,0)</f>
        <v>6</v>
      </c>
    </row>
    <row r="37" spans="1:29" x14ac:dyDescent="0.35">
      <c r="A37" s="3" t="s">
        <v>10</v>
      </c>
      <c r="B37" s="3" t="s">
        <v>16</v>
      </c>
      <c r="C37" s="2">
        <v>1</v>
      </c>
      <c r="D37" s="2">
        <v>4</v>
      </c>
      <c r="E37" s="3">
        <v>1</v>
      </c>
      <c r="F37" s="2">
        <v>1</v>
      </c>
      <c r="G37" s="2">
        <v>4</v>
      </c>
      <c r="H37" s="3">
        <v>1</v>
      </c>
      <c r="I37" s="2">
        <v>0.2</v>
      </c>
      <c r="J37" s="2">
        <v>0.05</v>
      </c>
      <c r="K37" s="3">
        <v>1</v>
      </c>
      <c r="L37" s="2">
        <v>1</v>
      </c>
      <c r="M37" s="2">
        <v>0.6</v>
      </c>
      <c r="N37" s="3">
        <v>2</v>
      </c>
      <c r="O37" s="2">
        <f>C37*E37+F37*H37+I37*K37+L37*N37</f>
        <v>4.2</v>
      </c>
      <c r="P37" s="2">
        <f t="shared" si="7"/>
        <v>9.25</v>
      </c>
      <c r="Q37" s="7">
        <f t="shared" si="8"/>
        <v>5</v>
      </c>
      <c r="R37" s="7">
        <f t="shared" si="9"/>
        <v>10</v>
      </c>
    </row>
    <row r="38" spans="1:29" x14ac:dyDescent="0.35">
      <c r="A38" s="3" t="s">
        <v>10</v>
      </c>
      <c r="B38" s="3" t="s">
        <v>24</v>
      </c>
      <c r="C38" s="2">
        <v>1</v>
      </c>
      <c r="D38" s="2">
        <v>4</v>
      </c>
      <c r="E38" s="3"/>
      <c r="F38" s="2">
        <v>1</v>
      </c>
      <c r="G38" s="2">
        <v>4</v>
      </c>
      <c r="H38" s="3">
        <v>1</v>
      </c>
      <c r="I38" s="2">
        <v>0.2</v>
      </c>
      <c r="J38" s="2">
        <v>0.05</v>
      </c>
      <c r="K38" s="3">
        <v>1</v>
      </c>
      <c r="L38" s="2">
        <v>1</v>
      </c>
      <c r="M38" s="2">
        <v>0.6</v>
      </c>
      <c r="N38" s="3">
        <v>2</v>
      </c>
      <c r="O38" s="2">
        <f>C38*E38+F38*H38+I38*K38+L38*N38</f>
        <v>3.2</v>
      </c>
      <c r="P38" s="2">
        <f>D38*E38+G38*H38+J38*K38+M38*N38</f>
        <v>5.25</v>
      </c>
      <c r="Q38" s="7">
        <f>ROUNDUP(O38,0)</f>
        <v>4</v>
      </c>
      <c r="R38" s="7">
        <f>ROUNDUP(P38,0)</f>
        <v>6</v>
      </c>
    </row>
    <row r="39" spans="1:29" x14ac:dyDescent="0.35">
      <c r="A39" s="3" t="s">
        <v>10</v>
      </c>
      <c r="B39" s="3" t="s">
        <v>25</v>
      </c>
      <c r="C39" s="2">
        <v>1</v>
      </c>
      <c r="D39" s="2">
        <v>4</v>
      </c>
      <c r="E39" s="3">
        <v>1</v>
      </c>
      <c r="F39" s="2">
        <v>1</v>
      </c>
      <c r="G39" s="2">
        <v>4</v>
      </c>
      <c r="H39" s="3"/>
      <c r="I39" s="2">
        <v>0.2</v>
      </c>
      <c r="J39" s="2">
        <v>0.05</v>
      </c>
      <c r="K39" s="3">
        <v>1</v>
      </c>
      <c r="L39" s="2">
        <v>1</v>
      </c>
      <c r="M39" s="2">
        <v>0.6</v>
      </c>
      <c r="N39" s="3">
        <v>2</v>
      </c>
      <c r="O39" s="2">
        <f>C39*E39+F39*H39+I39*K39+L39*N39</f>
        <v>3.2</v>
      </c>
      <c r="P39" s="2">
        <f t="shared" ref="P39" si="10">D39*E39+G39*H39+J39*K39+M39*N39</f>
        <v>5.25</v>
      </c>
      <c r="Q39" s="7">
        <f t="shared" ref="Q39" si="11">ROUNDUP(O39,0)</f>
        <v>4</v>
      </c>
      <c r="R39" s="7">
        <f t="shared" ref="R39" si="12">ROUNDUP(P39,0)</f>
        <v>6</v>
      </c>
    </row>
    <row r="40" spans="1:29" x14ac:dyDescent="0.35">
      <c r="A40" s="5"/>
      <c r="B40" s="8"/>
      <c r="C40" s="6"/>
      <c r="D40" s="6"/>
      <c r="E40" s="4">
        <f>SUM(E35:E39)</f>
        <v>3</v>
      </c>
      <c r="F40" s="6"/>
      <c r="G40" s="6"/>
      <c r="H40" s="4">
        <f>SUM(H35:H39)</f>
        <v>3</v>
      </c>
      <c r="I40" s="6"/>
      <c r="J40" s="6"/>
      <c r="K40" s="4">
        <f>SUM(K35:K39)</f>
        <v>5</v>
      </c>
      <c r="L40" s="6"/>
      <c r="M40" s="6"/>
      <c r="N40" s="4">
        <f>SUM(N35:N39)</f>
        <v>10</v>
      </c>
      <c r="O40" s="1"/>
      <c r="P40" s="1"/>
    </row>
    <row r="42" spans="1:29" x14ac:dyDescent="0.35">
      <c r="T42" s="10" t="s">
        <v>4</v>
      </c>
      <c r="U42" s="11"/>
      <c r="V42" s="9" t="s">
        <v>21</v>
      </c>
      <c r="W42" s="9"/>
      <c r="X42" s="9" t="s">
        <v>17</v>
      </c>
      <c r="Y42" s="9"/>
      <c r="Z42" s="9" t="s">
        <v>22</v>
      </c>
      <c r="AA42" s="9"/>
      <c r="AB42" s="9" t="s">
        <v>20</v>
      </c>
      <c r="AC42" s="9"/>
    </row>
    <row r="43" spans="1:29" x14ac:dyDescent="0.35">
      <c r="T43" s="3" t="s">
        <v>2</v>
      </c>
      <c r="U43" s="3" t="s">
        <v>3</v>
      </c>
      <c r="V43" s="3" t="s">
        <v>1</v>
      </c>
      <c r="W43" s="3" t="s">
        <v>0</v>
      </c>
      <c r="X43" s="3" t="s">
        <v>1</v>
      </c>
      <c r="Y43" s="3" t="s">
        <v>0</v>
      </c>
      <c r="Z43" s="3" t="s">
        <v>1</v>
      </c>
      <c r="AA43" s="3" t="s">
        <v>0</v>
      </c>
      <c r="AB43" s="4" t="s">
        <v>1</v>
      </c>
      <c r="AC43" s="4" t="s">
        <v>0</v>
      </c>
    </row>
    <row r="44" spans="1:29" x14ac:dyDescent="0.35">
      <c r="T44" s="3" t="s">
        <v>9</v>
      </c>
      <c r="U44" s="3" t="s">
        <v>11</v>
      </c>
      <c r="V44" s="3">
        <v>4</v>
      </c>
      <c r="W44" s="3">
        <v>4</v>
      </c>
      <c r="X44" s="3" t="s">
        <v>18</v>
      </c>
      <c r="Y44" s="3" t="s">
        <v>18</v>
      </c>
      <c r="Z44" s="3" t="s">
        <v>18</v>
      </c>
      <c r="AA44" s="3" t="s">
        <v>18</v>
      </c>
      <c r="AB44" s="4">
        <f>V44</f>
        <v>4</v>
      </c>
      <c r="AC44" s="4">
        <f>W44</f>
        <v>4</v>
      </c>
    </row>
    <row r="45" spans="1:29" x14ac:dyDescent="0.35">
      <c r="T45" s="3" t="s">
        <v>9</v>
      </c>
      <c r="U45" s="3" t="s">
        <v>13</v>
      </c>
      <c r="V45" s="3">
        <v>4</v>
      </c>
      <c r="W45" s="3">
        <v>4</v>
      </c>
      <c r="X45" s="3" t="s">
        <v>18</v>
      </c>
      <c r="Y45" s="3" t="s">
        <v>18</v>
      </c>
      <c r="Z45" s="3" t="s">
        <v>18</v>
      </c>
      <c r="AA45" s="3" t="s">
        <v>18</v>
      </c>
      <c r="AB45" s="4">
        <f t="shared" ref="AB45:AB46" si="13">V45</f>
        <v>4</v>
      </c>
      <c r="AC45" s="4">
        <f t="shared" ref="AC45:AC46" si="14">W45</f>
        <v>4</v>
      </c>
    </row>
    <row r="46" spans="1:29" x14ac:dyDescent="0.35">
      <c r="T46" s="3" t="s">
        <v>9</v>
      </c>
      <c r="U46" s="3" t="s">
        <v>14</v>
      </c>
      <c r="V46" s="3">
        <v>4</v>
      </c>
      <c r="W46" s="3">
        <v>4</v>
      </c>
      <c r="X46" s="3" t="s">
        <v>18</v>
      </c>
      <c r="Y46" s="3" t="s">
        <v>18</v>
      </c>
      <c r="Z46" s="3" t="s">
        <v>18</v>
      </c>
      <c r="AA46" s="3" t="s">
        <v>18</v>
      </c>
      <c r="AB46" s="4">
        <f t="shared" si="13"/>
        <v>4</v>
      </c>
      <c r="AC46" s="4">
        <f t="shared" si="14"/>
        <v>4</v>
      </c>
    </row>
    <row r="47" spans="1:29" x14ac:dyDescent="0.35">
      <c r="T47" s="3" t="s">
        <v>10</v>
      </c>
      <c r="U47" s="3" t="s">
        <v>12</v>
      </c>
      <c r="V47" s="3">
        <v>2</v>
      </c>
      <c r="W47" s="3">
        <v>2</v>
      </c>
      <c r="X47" s="3">
        <f>Q35</f>
        <v>4</v>
      </c>
      <c r="Y47" s="3">
        <f>R35</f>
        <v>6</v>
      </c>
      <c r="Z47" s="3">
        <v>5</v>
      </c>
      <c r="AA47" s="3">
        <v>10</v>
      </c>
      <c r="AB47" s="4">
        <f t="shared" ref="AB47:AB51" si="15">V47+X47+Z47</f>
        <v>11</v>
      </c>
      <c r="AC47" s="4">
        <f t="shared" ref="AC47:AC51" si="16">W47+Y47+AA47</f>
        <v>18</v>
      </c>
    </row>
    <row r="48" spans="1:29" x14ac:dyDescent="0.35">
      <c r="T48" s="3" t="s">
        <v>10</v>
      </c>
      <c r="U48" s="3" t="s">
        <v>15</v>
      </c>
      <c r="V48" s="3">
        <v>2</v>
      </c>
      <c r="W48" s="3">
        <v>2</v>
      </c>
      <c r="X48" s="3">
        <f t="shared" ref="X48:Y48" si="17">Q36</f>
        <v>4</v>
      </c>
      <c r="Y48" s="3">
        <f t="shared" si="17"/>
        <v>6</v>
      </c>
      <c r="Z48" s="3">
        <v>5</v>
      </c>
      <c r="AA48" s="3">
        <v>10</v>
      </c>
      <c r="AB48" s="4">
        <f t="shared" si="15"/>
        <v>11</v>
      </c>
      <c r="AC48" s="4">
        <f t="shared" si="16"/>
        <v>18</v>
      </c>
    </row>
    <row r="49" spans="1:29" x14ac:dyDescent="0.35">
      <c r="T49" s="3" t="s">
        <v>10</v>
      </c>
      <c r="U49" s="3" t="s">
        <v>16</v>
      </c>
      <c r="V49" s="3">
        <v>2</v>
      </c>
      <c r="W49" s="3">
        <v>2</v>
      </c>
      <c r="X49" s="3">
        <f t="shared" ref="X49:Y49" si="18">Q37</f>
        <v>5</v>
      </c>
      <c r="Y49" s="3">
        <f t="shared" si="18"/>
        <v>10</v>
      </c>
      <c r="Z49" s="3">
        <v>5</v>
      </c>
      <c r="AA49" s="3">
        <v>10</v>
      </c>
      <c r="AB49" s="4">
        <f t="shared" si="15"/>
        <v>12</v>
      </c>
      <c r="AC49" s="4">
        <f t="shared" si="16"/>
        <v>22</v>
      </c>
    </row>
    <row r="50" spans="1:29" x14ac:dyDescent="0.35">
      <c r="T50" s="3" t="s">
        <v>10</v>
      </c>
      <c r="U50" s="3" t="s">
        <v>24</v>
      </c>
      <c r="V50" s="3">
        <v>2</v>
      </c>
      <c r="W50" s="3">
        <v>2</v>
      </c>
      <c r="X50" s="3">
        <f t="shared" ref="X50:Y50" si="19">Q38</f>
        <v>4</v>
      </c>
      <c r="Y50" s="3">
        <f t="shared" si="19"/>
        <v>6</v>
      </c>
      <c r="Z50" s="3">
        <v>5</v>
      </c>
      <c r="AA50" s="3">
        <v>10</v>
      </c>
      <c r="AB50" s="4">
        <f t="shared" si="15"/>
        <v>11</v>
      </c>
      <c r="AC50" s="4">
        <f t="shared" si="16"/>
        <v>18</v>
      </c>
    </row>
    <row r="51" spans="1:29" x14ac:dyDescent="0.35">
      <c r="T51" s="3" t="s">
        <v>10</v>
      </c>
      <c r="U51" s="3" t="s">
        <v>25</v>
      </c>
      <c r="V51" s="3">
        <v>2</v>
      </c>
      <c r="W51" s="3">
        <v>2</v>
      </c>
      <c r="X51" s="3">
        <f t="shared" ref="X51:Y51" si="20">Q39</f>
        <v>4</v>
      </c>
      <c r="Y51" s="3">
        <f t="shared" si="20"/>
        <v>6</v>
      </c>
      <c r="Z51" s="3">
        <v>5</v>
      </c>
      <c r="AA51" s="3">
        <v>10</v>
      </c>
      <c r="AB51" s="4">
        <f t="shared" si="15"/>
        <v>11</v>
      </c>
      <c r="AC51" s="4">
        <f t="shared" si="16"/>
        <v>18</v>
      </c>
    </row>
    <row r="52" spans="1:29" ht="15.5" x14ac:dyDescent="0.35">
      <c r="T52" s="14"/>
      <c r="U52" s="14"/>
      <c r="V52" s="14"/>
      <c r="W52" s="14"/>
      <c r="X52" s="14"/>
      <c r="Y52" s="14"/>
      <c r="Z52" s="14"/>
      <c r="AA52" s="15" t="s">
        <v>27</v>
      </c>
      <c r="AB52" s="16">
        <f>SUM(AB44:AB51)</f>
        <v>68</v>
      </c>
      <c r="AC52" s="16">
        <f>SUM(AC44:AC51)</f>
        <v>106</v>
      </c>
    </row>
    <row r="56" spans="1:29" x14ac:dyDescent="0.35">
      <c r="A56" s="13" t="s">
        <v>30</v>
      </c>
    </row>
    <row r="58" spans="1:29" x14ac:dyDescent="0.35">
      <c r="A58" s="9" t="s">
        <v>4</v>
      </c>
      <c r="B58" s="9"/>
      <c r="C58" s="9" t="s">
        <v>17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</row>
    <row r="59" spans="1:29" x14ac:dyDescent="0.35">
      <c r="A59" s="9"/>
      <c r="B59" s="9"/>
      <c r="C59" s="12" t="s">
        <v>5</v>
      </c>
      <c r="D59" s="12"/>
      <c r="E59" s="12"/>
      <c r="F59" s="12" t="s">
        <v>6</v>
      </c>
      <c r="G59" s="12"/>
      <c r="H59" s="12"/>
      <c r="I59" s="12" t="s">
        <v>7</v>
      </c>
      <c r="J59" s="12"/>
      <c r="K59" s="12"/>
      <c r="L59" s="12" t="s">
        <v>8</v>
      </c>
      <c r="M59" s="12"/>
      <c r="N59" s="12"/>
      <c r="O59" s="12" t="s">
        <v>20</v>
      </c>
      <c r="P59" s="12"/>
      <c r="Q59" s="9" t="s">
        <v>23</v>
      </c>
      <c r="R59" s="9"/>
    </row>
    <row r="60" spans="1:29" x14ac:dyDescent="0.35">
      <c r="A60" s="3" t="s">
        <v>2</v>
      </c>
      <c r="B60" s="3" t="s">
        <v>3</v>
      </c>
      <c r="C60" s="3" t="s">
        <v>1</v>
      </c>
      <c r="D60" s="3" t="s">
        <v>0</v>
      </c>
      <c r="E60" s="3" t="s">
        <v>19</v>
      </c>
      <c r="F60" s="3" t="s">
        <v>1</v>
      </c>
      <c r="G60" s="3" t="s">
        <v>0</v>
      </c>
      <c r="H60" s="3" t="s">
        <v>19</v>
      </c>
      <c r="I60" s="3" t="s">
        <v>1</v>
      </c>
      <c r="J60" s="3" t="s">
        <v>0</v>
      </c>
      <c r="K60" s="3" t="s">
        <v>19</v>
      </c>
      <c r="L60" s="3" t="s">
        <v>1</v>
      </c>
      <c r="M60" s="3" t="s">
        <v>0</v>
      </c>
      <c r="N60" s="3" t="s">
        <v>19</v>
      </c>
      <c r="O60" s="3" t="s">
        <v>1</v>
      </c>
      <c r="P60" s="3" t="s">
        <v>0</v>
      </c>
      <c r="Q60" s="4" t="s">
        <v>1</v>
      </c>
      <c r="R60" s="4" t="s">
        <v>0</v>
      </c>
    </row>
    <row r="61" spans="1:29" x14ac:dyDescent="0.35">
      <c r="A61" s="3" t="s">
        <v>10</v>
      </c>
      <c r="B61" s="3" t="s">
        <v>12</v>
      </c>
      <c r="C61" s="2">
        <v>1</v>
      </c>
      <c r="D61" s="2">
        <v>4</v>
      </c>
      <c r="E61" s="3">
        <v>1</v>
      </c>
      <c r="F61" s="2">
        <v>1</v>
      </c>
      <c r="G61" s="2">
        <v>4</v>
      </c>
      <c r="H61" s="3"/>
      <c r="I61" s="2">
        <v>0.2</v>
      </c>
      <c r="J61" s="2">
        <v>0.05</v>
      </c>
      <c r="K61" s="3">
        <v>1</v>
      </c>
      <c r="L61" s="2">
        <v>1</v>
      </c>
      <c r="M61" s="2">
        <v>0.6</v>
      </c>
      <c r="N61" s="3">
        <v>1</v>
      </c>
      <c r="O61" s="2">
        <f>C61*E61+F61*H61+I61*K61+L61*N61</f>
        <v>2.2000000000000002</v>
      </c>
      <c r="P61" s="2">
        <f>D61*E61+G61*H61+J61*K61+M61*N61</f>
        <v>4.6499999999999995</v>
      </c>
      <c r="Q61" s="7">
        <f>ROUNDUP(O61,0)</f>
        <v>3</v>
      </c>
      <c r="R61" s="7">
        <f>ROUNDUP(P61,0)</f>
        <v>5</v>
      </c>
    </row>
    <row r="62" spans="1:29" x14ac:dyDescent="0.35">
      <c r="A62" s="3" t="s">
        <v>10</v>
      </c>
      <c r="B62" s="3" t="s">
        <v>15</v>
      </c>
      <c r="C62" s="2">
        <v>1</v>
      </c>
      <c r="D62" s="2">
        <v>4</v>
      </c>
      <c r="E62" s="3"/>
      <c r="F62" s="2">
        <v>1</v>
      </c>
      <c r="G62" s="2">
        <v>4</v>
      </c>
      <c r="H62" s="3">
        <v>1</v>
      </c>
      <c r="I62" s="2">
        <v>0.2</v>
      </c>
      <c r="J62" s="2">
        <v>0.05</v>
      </c>
      <c r="K62" s="3">
        <v>1</v>
      </c>
      <c r="L62" s="2">
        <v>1</v>
      </c>
      <c r="M62" s="2">
        <v>0.6</v>
      </c>
      <c r="N62" s="3">
        <v>1</v>
      </c>
      <c r="O62" s="2">
        <f>C62*E62+F62*H62+I62*K62+L62*N62</f>
        <v>2.2000000000000002</v>
      </c>
      <c r="P62" s="2">
        <f t="shared" ref="P62:P63" si="21">D62*E62+G62*H62+J62*K62+M62*N62</f>
        <v>4.6499999999999995</v>
      </c>
      <c r="Q62" s="7">
        <f t="shared" ref="Q62:Q63" si="22">ROUNDUP(O62,0)</f>
        <v>3</v>
      </c>
      <c r="R62" s="7">
        <f t="shared" ref="R62:R63" si="23">ROUNDUP(P62,0)</f>
        <v>5</v>
      </c>
    </row>
    <row r="63" spans="1:29" x14ac:dyDescent="0.35">
      <c r="A63" s="3" t="s">
        <v>10</v>
      </c>
      <c r="B63" s="3" t="s">
        <v>16</v>
      </c>
      <c r="C63" s="2">
        <v>1</v>
      </c>
      <c r="D63" s="2">
        <v>4</v>
      </c>
      <c r="E63" s="3">
        <v>1</v>
      </c>
      <c r="F63" s="2">
        <v>1</v>
      </c>
      <c r="G63" s="2">
        <v>4</v>
      </c>
      <c r="H63" s="3"/>
      <c r="I63" s="2">
        <v>0.2</v>
      </c>
      <c r="J63" s="2">
        <v>0.05</v>
      </c>
      <c r="K63" s="3">
        <v>1</v>
      </c>
      <c r="L63" s="2">
        <v>1</v>
      </c>
      <c r="M63" s="2">
        <v>0.6</v>
      </c>
      <c r="N63" s="3">
        <v>2</v>
      </c>
      <c r="O63" s="2">
        <f>C63*E63+F63*H63+I63*K63+L63*N63</f>
        <v>3.2</v>
      </c>
      <c r="P63" s="2">
        <f t="shared" si="21"/>
        <v>5.25</v>
      </c>
      <c r="Q63" s="7">
        <f t="shared" si="22"/>
        <v>4</v>
      </c>
      <c r="R63" s="7">
        <f t="shared" si="23"/>
        <v>6</v>
      </c>
    </row>
    <row r="64" spans="1:29" x14ac:dyDescent="0.35">
      <c r="A64" s="3" t="s">
        <v>10</v>
      </c>
      <c r="B64" s="3" t="s">
        <v>24</v>
      </c>
      <c r="C64" s="2">
        <v>1</v>
      </c>
      <c r="D64" s="2">
        <v>4</v>
      </c>
      <c r="E64" s="3"/>
      <c r="F64" s="2">
        <v>1</v>
      </c>
      <c r="G64" s="2">
        <v>4</v>
      </c>
      <c r="H64" s="3">
        <v>1</v>
      </c>
      <c r="I64" s="2">
        <v>0.2</v>
      </c>
      <c r="J64" s="2">
        <v>0.05</v>
      </c>
      <c r="K64" s="3">
        <v>1</v>
      </c>
      <c r="L64" s="2">
        <v>1</v>
      </c>
      <c r="M64" s="2">
        <v>0.6</v>
      </c>
      <c r="N64" s="3">
        <v>2</v>
      </c>
      <c r="O64" s="2">
        <f>C64*E64+F64*H64+I64*K64+L64*N64</f>
        <v>3.2</v>
      </c>
      <c r="P64" s="2">
        <f>D64*E64+G64*H64+J64*K64+M64*N64</f>
        <v>5.25</v>
      </c>
      <c r="Q64" s="7">
        <f>ROUNDUP(O64,0)</f>
        <v>4</v>
      </c>
      <c r="R64" s="7">
        <f>ROUNDUP(P64,0)</f>
        <v>6</v>
      </c>
    </row>
    <row r="65" spans="1:29" x14ac:dyDescent="0.35">
      <c r="A65" s="3" t="s">
        <v>10</v>
      </c>
      <c r="B65" s="3" t="s">
        <v>25</v>
      </c>
      <c r="C65" s="2">
        <v>1</v>
      </c>
      <c r="D65" s="2">
        <v>4</v>
      </c>
      <c r="E65" s="3">
        <v>1</v>
      </c>
      <c r="F65" s="2">
        <v>1</v>
      </c>
      <c r="G65" s="2">
        <v>4</v>
      </c>
      <c r="H65" s="3"/>
      <c r="I65" s="2">
        <v>0.2</v>
      </c>
      <c r="J65" s="2">
        <v>0.05</v>
      </c>
      <c r="K65" s="3">
        <v>1</v>
      </c>
      <c r="L65" s="2">
        <v>1</v>
      </c>
      <c r="M65" s="2">
        <v>0.6</v>
      </c>
      <c r="N65" s="3">
        <v>2</v>
      </c>
      <c r="O65" s="2">
        <f>C65*E65+F65*H65+I65*K65+L65*N65</f>
        <v>3.2</v>
      </c>
      <c r="P65" s="2">
        <f t="shared" ref="P65:P66" si="24">D65*E65+G65*H65+J65*K65+M65*N65</f>
        <v>5.25</v>
      </c>
      <c r="Q65" s="7">
        <f t="shared" ref="Q65:Q66" si="25">ROUNDUP(O65,0)</f>
        <v>4</v>
      </c>
      <c r="R65" s="7">
        <f t="shared" ref="R65:R66" si="26">ROUNDUP(P65,0)</f>
        <v>6</v>
      </c>
    </row>
    <row r="66" spans="1:29" x14ac:dyDescent="0.35">
      <c r="A66" s="3" t="s">
        <v>10</v>
      </c>
      <c r="B66" s="3" t="s">
        <v>26</v>
      </c>
      <c r="C66" s="2">
        <v>1</v>
      </c>
      <c r="D66" s="2">
        <v>4</v>
      </c>
      <c r="E66" s="3"/>
      <c r="F66" s="2">
        <v>1</v>
      </c>
      <c r="G66" s="2">
        <v>4</v>
      </c>
      <c r="H66" s="3">
        <v>1</v>
      </c>
      <c r="I66" s="2">
        <v>0.2</v>
      </c>
      <c r="J66" s="2">
        <v>0.05</v>
      </c>
      <c r="K66" s="3"/>
      <c r="L66" s="2">
        <v>1</v>
      </c>
      <c r="M66" s="2">
        <v>0.6</v>
      </c>
      <c r="N66" s="3">
        <v>2</v>
      </c>
      <c r="O66" s="2">
        <f>C66*E66+F66*H66+I66*K66+L66*N66</f>
        <v>3</v>
      </c>
      <c r="P66" s="2">
        <f t="shared" si="24"/>
        <v>5.2</v>
      </c>
      <c r="Q66" s="7">
        <f t="shared" si="25"/>
        <v>3</v>
      </c>
      <c r="R66" s="7">
        <f t="shared" si="26"/>
        <v>6</v>
      </c>
    </row>
    <row r="67" spans="1:29" x14ac:dyDescent="0.35">
      <c r="A67" s="5"/>
      <c r="B67" s="8"/>
      <c r="C67" s="6"/>
      <c r="D67" s="6"/>
      <c r="E67" s="4">
        <f>SUM(E61:E66)</f>
        <v>3</v>
      </c>
      <c r="F67" s="6"/>
      <c r="G67" s="6"/>
      <c r="H67" s="4">
        <f>SUM(H61:H66)</f>
        <v>3</v>
      </c>
      <c r="I67" s="6"/>
      <c r="J67" s="6"/>
      <c r="K67" s="4">
        <f>SUM(K61:K66)</f>
        <v>5</v>
      </c>
      <c r="L67" s="6"/>
      <c r="M67" s="6"/>
      <c r="N67" s="4">
        <f>SUM(N61:N66)</f>
        <v>10</v>
      </c>
      <c r="O67" s="1"/>
      <c r="P67" s="1"/>
    </row>
    <row r="69" spans="1:29" x14ac:dyDescent="0.35">
      <c r="T69" s="10" t="s">
        <v>4</v>
      </c>
      <c r="U69" s="11"/>
      <c r="V69" s="9" t="s">
        <v>21</v>
      </c>
      <c r="W69" s="9"/>
      <c r="X69" s="9" t="s">
        <v>17</v>
      </c>
      <c r="Y69" s="9"/>
      <c r="Z69" s="9" t="s">
        <v>22</v>
      </c>
      <c r="AA69" s="9"/>
      <c r="AB69" s="9" t="s">
        <v>20</v>
      </c>
      <c r="AC69" s="9"/>
    </row>
    <row r="70" spans="1:29" x14ac:dyDescent="0.35">
      <c r="T70" s="3" t="s">
        <v>2</v>
      </c>
      <c r="U70" s="3" t="s">
        <v>3</v>
      </c>
      <c r="V70" s="3" t="s">
        <v>1</v>
      </c>
      <c r="W70" s="3" t="s">
        <v>0</v>
      </c>
      <c r="X70" s="3" t="s">
        <v>1</v>
      </c>
      <c r="Y70" s="3" t="s">
        <v>0</v>
      </c>
      <c r="Z70" s="3" t="s">
        <v>1</v>
      </c>
      <c r="AA70" s="3" t="s">
        <v>0</v>
      </c>
      <c r="AB70" s="4" t="s">
        <v>1</v>
      </c>
      <c r="AC70" s="4" t="s">
        <v>0</v>
      </c>
    </row>
    <row r="71" spans="1:29" x14ac:dyDescent="0.35">
      <c r="T71" s="3" t="s">
        <v>9</v>
      </c>
      <c r="U71" s="3" t="s">
        <v>11</v>
      </c>
      <c r="V71" s="3">
        <v>4</v>
      </c>
      <c r="W71" s="3">
        <v>4</v>
      </c>
      <c r="X71" s="3" t="s">
        <v>18</v>
      </c>
      <c r="Y71" s="3" t="s">
        <v>18</v>
      </c>
      <c r="Z71" s="3" t="s">
        <v>18</v>
      </c>
      <c r="AA71" s="3" t="s">
        <v>18</v>
      </c>
      <c r="AB71" s="4">
        <f>V71</f>
        <v>4</v>
      </c>
      <c r="AC71" s="4">
        <f>W71</f>
        <v>4</v>
      </c>
    </row>
    <row r="72" spans="1:29" x14ac:dyDescent="0.35">
      <c r="T72" s="3" t="s">
        <v>9</v>
      </c>
      <c r="U72" s="3" t="s">
        <v>13</v>
      </c>
      <c r="V72" s="3">
        <v>4</v>
      </c>
      <c r="W72" s="3">
        <v>4</v>
      </c>
      <c r="X72" s="3" t="s">
        <v>18</v>
      </c>
      <c r="Y72" s="3" t="s">
        <v>18</v>
      </c>
      <c r="Z72" s="3" t="s">
        <v>18</v>
      </c>
      <c r="AA72" s="3" t="s">
        <v>18</v>
      </c>
      <c r="AB72" s="4">
        <f t="shared" ref="AB72:AB73" si="27">V72</f>
        <v>4</v>
      </c>
      <c r="AC72" s="4">
        <f t="shared" ref="AC72:AC73" si="28">W72</f>
        <v>4</v>
      </c>
    </row>
    <row r="73" spans="1:29" x14ac:dyDescent="0.35">
      <c r="T73" s="3" t="s">
        <v>9</v>
      </c>
      <c r="U73" s="3" t="s">
        <v>14</v>
      </c>
      <c r="V73" s="3">
        <v>4</v>
      </c>
      <c r="W73" s="3">
        <v>4</v>
      </c>
      <c r="X73" s="3" t="s">
        <v>18</v>
      </c>
      <c r="Y73" s="3" t="s">
        <v>18</v>
      </c>
      <c r="Z73" s="3" t="s">
        <v>18</v>
      </c>
      <c r="AA73" s="3" t="s">
        <v>18</v>
      </c>
      <c r="AB73" s="4">
        <f t="shared" si="27"/>
        <v>4</v>
      </c>
      <c r="AC73" s="4">
        <f t="shared" si="28"/>
        <v>4</v>
      </c>
    </row>
    <row r="74" spans="1:29" x14ac:dyDescent="0.35">
      <c r="T74" s="3" t="s">
        <v>10</v>
      </c>
      <c r="U74" s="3" t="s">
        <v>12</v>
      </c>
      <c r="V74" s="3">
        <v>2</v>
      </c>
      <c r="W74" s="3">
        <v>2</v>
      </c>
      <c r="X74" s="3">
        <f>Q61</f>
        <v>3</v>
      </c>
      <c r="Y74" s="3">
        <f>R61</f>
        <v>5</v>
      </c>
      <c r="Z74" s="3">
        <v>4</v>
      </c>
      <c r="AA74" s="3">
        <v>6</v>
      </c>
      <c r="AB74" s="4">
        <f t="shared" ref="AB74:AB76" si="29">V74+X74+Z74</f>
        <v>9</v>
      </c>
      <c r="AC74" s="4">
        <f t="shared" ref="AC74:AC76" si="30">W74+Y74+AA74</f>
        <v>13</v>
      </c>
    </row>
    <row r="75" spans="1:29" x14ac:dyDescent="0.35">
      <c r="T75" s="3" t="s">
        <v>10</v>
      </c>
      <c r="U75" s="3" t="s">
        <v>15</v>
      </c>
      <c r="V75" s="3">
        <v>2</v>
      </c>
      <c r="W75" s="3">
        <v>2</v>
      </c>
      <c r="X75" s="3">
        <f t="shared" ref="X75:Y75" si="31">Q62</f>
        <v>3</v>
      </c>
      <c r="Y75" s="3">
        <f t="shared" si="31"/>
        <v>5</v>
      </c>
      <c r="Z75" s="3">
        <v>4</v>
      </c>
      <c r="AA75" s="3">
        <v>6</v>
      </c>
      <c r="AB75" s="4">
        <f t="shared" si="29"/>
        <v>9</v>
      </c>
      <c r="AC75" s="4">
        <f t="shared" si="30"/>
        <v>13</v>
      </c>
    </row>
    <row r="76" spans="1:29" x14ac:dyDescent="0.35">
      <c r="T76" s="3" t="s">
        <v>10</v>
      </c>
      <c r="U76" s="3" t="s">
        <v>16</v>
      </c>
      <c r="V76" s="3">
        <v>2</v>
      </c>
      <c r="W76" s="3">
        <v>2</v>
      </c>
      <c r="X76" s="3">
        <f t="shared" ref="X76:Y76" si="32">Q63</f>
        <v>4</v>
      </c>
      <c r="Y76" s="3">
        <f t="shared" si="32"/>
        <v>6</v>
      </c>
      <c r="Z76" s="3">
        <v>4</v>
      </c>
      <c r="AA76" s="3">
        <v>6</v>
      </c>
      <c r="AB76" s="4">
        <f t="shared" si="29"/>
        <v>10</v>
      </c>
      <c r="AC76" s="4">
        <f t="shared" si="30"/>
        <v>14</v>
      </c>
    </row>
    <row r="77" spans="1:29" x14ac:dyDescent="0.35">
      <c r="T77" s="3" t="s">
        <v>10</v>
      </c>
      <c r="U77" s="3" t="s">
        <v>24</v>
      </c>
      <c r="V77" s="3">
        <v>2</v>
      </c>
      <c r="W77" s="3">
        <v>2</v>
      </c>
      <c r="X77" s="3">
        <f t="shared" ref="X77:Y77" si="33">Q64</f>
        <v>4</v>
      </c>
      <c r="Y77" s="3">
        <f t="shared" si="33"/>
        <v>6</v>
      </c>
      <c r="Z77" s="3">
        <v>4</v>
      </c>
      <c r="AA77" s="3">
        <v>6</v>
      </c>
      <c r="AB77" s="4">
        <f t="shared" ref="AB77:AB79" si="34">V77+X77+Z77</f>
        <v>10</v>
      </c>
      <c r="AC77" s="4">
        <f t="shared" ref="AC77:AC79" si="35">W77+Y77+AA77</f>
        <v>14</v>
      </c>
    </row>
    <row r="78" spans="1:29" x14ac:dyDescent="0.35">
      <c r="T78" s="3" t="s">
        <v>10</v>
      </c>
      <c r="U78" s="3" t="s">
        <v>25</v>
      </c>
      <c r="V78" s="3">
        <v>2</v>
      </c>
      <c r="W78" s="3">
        <v>2</v>
      </c>
      <c r="X78" s="3">
        <f t="shared" ref="X78:Y78" si="36">Q65</f>
        <v>4</v>
      </c>
      <c r="Y78" s="3">
        <f t="shared" si="36"/>
        <v>6</v>
      </c>
      <c r="Z78" s="3">
        <v>4</v>
      </c>
      <c r="AA78" s="3">
        <v>6</v>
      </c>
      <c r="AB78" s="4">
        <f t="shared" si="34"/>
        <v>10</v>
      </c>
      <c r="AC78" s="4">
        <f t="shared" si="35"/>
        <v>14</v>
      </c>
    </row>
    <row r="79" spans="1:29" x14ac:dyDescent="0.35">
      <c r="T79" s="3" t="s">
        <v>10</v>
      </c>
      <c r="U79" s="3" t="s">
        <v>26</v>
      </c>
      <c r="V79" s="3">
        <v>2</v>
      </c>
      <c r="W79" s="3">
        <v>2</v>
      </c>
      <c r="X79" s="3">
        <f t="shared" ref="X79:Y79" si="37">Q66</f>
        <v>3</v>
      </c>
      <c r="Y79" s="3">
        <f t="shared" si="37"/>
        <v>6</v>
      </c>
      <c r="Z79" s="3">
        <v>4</v>
      </c>
      <c r="AA79" s="3">
        <v>6</v>
      </c>
      <c r="AB79" s="4">
        <f t="shared" si="34"/>
        <v>9</v>
      </c>
      <c r="AC79" s="4">
        <f t="shared" si="35"/>
        <v>14</v>
      </c>
    </row>
    <row r="80" spans="1:29" ht="15.5" x14ac:dyDescent="0.35">
      <c r="T80" s="14"/>
      <c r="U80" s="14"/>
      <c r="V80" s="14"/>
      <c r="W80" s="14"/>
      <c r="X80" s="14"/>
      <c r="Y80" s="14"/>
      <c r="Z80" s="14"/>
      <c r="AA80" s="15" t="s">
        <v>27</v>
      </c>
      <c r="AB80" s="16">
        <f>SUM(AB71:AB79)</f>
        <v>69</v>
      </c>
      <c r="AC80" s="16">
        <f>SUM(AC71:AC79)</f>
        <v>94</v>
      </c>
    </row>
  </sheetData>
  <mergeCells count="42">
    <mergeCell ref="Z42:AA42"/>
    <mergeCell ref="AB42:AC42"/>
    <mergeCell ref="AE2:AE3"/>
    <mergeCell ref="AF2:AG2"/>
    <mergeCell ref="AH2:AI2"/>
    <mergeCell ref="O33:P33"/>
    <mergeCell ref="Q33:R33"/>
    <mergeCell ref="T42:U42"/>
    <mergeCell ref="V42:W42"/>
    <mergeCell ref="X42:Y42"/>
    <mergeCell ref="T69:U69"/>
    <mergeCell ref="V69:W69"/>
    <mergeCell ref="X69:Y69"/>
    <mergeCell ref="Z69:AA69"/>
    <mergeCell ref="AB69:AC69"/>
    <mergeCell ref="A11:B12"/>
    <mergeCell ref="O12:P12"/>
    <mergeCell ref="A58:B59"/>
    <mergeCell ref="C58:R58"/>
    <mergeCell ref="C59:E59"/>
    <mergeCell ref="F59:H59"/>
    <mergeCell ref="I59:K59"/>
    <mergeCell ref="L59:N59"/>
    <mergeCell ref="O59:P59"/>
    <mergeCell ref="Q59:R59"/>
    <mergeCell ref="A32:B33"/>
    <mergeCell ref="C32:R32"/>
    <mergeCell ref="C33:E33"/>
    <mergeCell ref="F33:H33"/>
    <mergeCell ref="I33:K33"/>
    <mergeCell ref="L33:N33"/>
    <mergeCell ref="Q12:R12"/>
    <mergeCell ref="C11:R11"/>
    <mergeCell ref="AB19:AC19"/>
    <mergeCell ref="V19:W19"/>
    <mergeCell ref="X19:Y19"/>
    <mergeCell ref="Z19:AA19"/>
    <mergeCell ref="T19:U19"/>
    <mergeCell ref="C12:E12"/>
    <mergeCell ref="F12:H12"/>
    <mergeCell ref="I12:K12"/>
    <mergeCell ref="L12:N1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MVA</dc:creator>
  <cp:lastModifiedBy>MVA</cp:lastModifiedBy>
  <dcterms:created xsi:type="dcterms:W3CDTF">2024-07-21T19:03:02Z</dcterms:created>
  <dcterms:modified xsi:type="dcterms:W3CDTF">2024-07-22T00:34:03Z</dcterms:modified>
</cp:coreProperties>
</file>